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lidharan\PycharmProjects\VS_code_workspace\Machine_learning\03012026_hackathon\"/>
    </mc:Choice>
  </mc:AlternateContent>
  <xr:revisionPtr revIDLastSave="0" documentId="13_ncr:1_{4DD2C37A-64E2-4933-A7E7-C641CC49FB6F}" xr6:coauthVersionLast="47" xr6:coauthVersionMax="47" xr10:uidLastSave="{00000000-0000-0000-0000-000000000000}"/>
  <bookViews>
    <workbookView xWindow="-108" yWindow="-108" windowWidth="23256" windowHeight="12456" activeTab="2" xr2:uid="{B44F7C92-3090-4905-B5A4-279F01F710CE}"/>
  </bookViews>
  <sheets>
    <sheet name="Sheet1" sheetId="1" r:id="rId1"/>
    <sheet name="Manual Calculation" sheetId="2" r:id="rId2"/>
    <sheet name="Screensho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7" i="2" l="1"/>
  <c r="I117" i="2"/>
  <c r="J116" i="2"/>
  <c r="I116" i="2"/>
  <c r="F116" i="2"/>
  <c r="J107" i="2"/>
  <c r="I107" i="2"/>
  <c r="J106" i="2"/>
  <c r="I106" i="2"/>
  <c r="F106" i="2"/>
  <c r="C94" i="2"/>
  <c r="B95" i="2" s="1"/>
  <c r="J79" i="2"/>
  <c r="I79" i="2"/>
  <c r="J78" i="2"/>
  <c r="I78" i="2"/>
  <c r="K78" i="2" s="1"/>
  <c r="F78" i="2"/>
  <c r="J69" i="2"/>
  <c r="I69" i="2"/>
  <c r="K69" i="2" s="1"/>
  <c r="J68" i="2"/>
  <c r="K68" i="2" s="1"/>
  <c r="I68" i="2"/>
  <c r="F68" i="2"/>
  <c r="J57" i="2"/>
  <c r="I57" i="2"/>
  <c r="K57" i="2" s="1"/>
  <c r="J56" i="2"/>
  <c r="I56" i="2"/>
  <c r="K56" i="2" s="1"/>
  <c r="F56" i="2"/>
  <c r="J47" i="2"/>
  <c r="I47" i="2"/>
  <c r="K47" i="2" s="1"/>
  <c r="J46" i="2"/>
  <c r="I46" i="2"/>
  <c r="K46" i="2" s="1"/>
  <c r="F46" i="2"/>
  <c r="J36" i="2"/>
  <c r="I36" i="2"/>
  <c r="K36" i="2" s="1"/>
  <c r="J35" i="2"/>
  <c r="I35" i="2"/>
  <c r="K35" i="2" s="1"/>
  <c r="F35" i="2"/>
  <c r="J26" i="2"/>
  <c r="I26" i="2"/>
  <c r="K26" i="2" s="1"/>
  <c r="J25" i="2"/>
  <c r="I25" i="2"/>
  <c r="K25" i="2" s="1"/>
  <c r="F25" i="2"/>
  <c r="J16" i="2"/>
  <c r="I16" i="2"/>
  <c r="K16" i="2" s="1"/>
  <c r="J15" i="2"/>
  <c r="I15" i="2"/>
  <c r="K15" i="2" s="1"/>
  <c r="F15" i="2"/>
  <c r="K5" i="2"/>
  <c r="K6" i="2"/>
  <c r="J6" i="2"/>
  <c r="J5" i="2"/>
  <c r="I6" i="2"/>
  <c r="I5" i="2"/>
  <c r="F5" i="2"/>
  <c r="K116" i="2" l="1"/>
  <c r="K117" i="2"/>
  <c r="K107" i="2"/>
  <c r="K106" i="2"/>
  <c r="K79" i="2"/>
</calcChain>
</file>

<file path=xl/sharedStrings.xml><?xml version="1.0" encoding="utf-8"?>
<sst xmlns="http://schemas.openxmlformats.org/spreadsheetml/2006/main" count="159" uniqueCount="60">
  <si>
    <t>#</t>
  </si>
  <si>
    <t>Column</t>
  </si>
  <si>
    <t>Dtype</t>
  </si>
  <si>
    <t>employee_id</t>
  </si>
  <si>
    <t>int64</t>
  </si>
  <si>
    <t>department</t>
  </si>
  <si>
    <t>object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</si>
  <si>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</si>
  <si>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</si>
  <si>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</si>
  <si>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</si>
  <si>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</si>
  <si>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</si>
  <si>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</si>
  <si>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float64</t>
  </si>
  <si>
    <t>length_of_service</t>
  </si>
  <si>
    <t>KPIs_met &gt;80%</t>
  </si>
  <si>
    <t>awards_won?</t>
  </si>
  <si>
    <t>avg_training_score</t>
  </si>
  <si>
    <t>is_promoted</t>
  </si>
  <si>
    <t>Not null count</t>
  </si>
  <si>
    <t>Comments</t>
  </si>
  <si>
    <t>Ignored</t>
  </si>
  <si>
    <t>Categorical</t>
  </si>
  <si>
    <t>Target variable</t>
  </si>
  <si>
    <t>Numerical</t>
  </si>
  <si>
    <t>Null values has to be filled</t>
  </si>
  <si>
    <t>Null values has to be filled with MODE of the column value</t>
  </si>
  <si>
    <t>Actual</t>
  </si>
  <si>
    <t>Predicted</t>
  </si>
  <si>
    <t>Train Dataset</t>
  </si>
  <si>
    <t>Accuracy</t>
  </si>
  <si>
    <t>Value</t>
  </si>
  <si>
    <t>Recall</t>
  </si>
  <si>
    <t>Precision</t>
  </si>
  <si>
    <t>F1 Score</t>
  </si>
  <si>
    <t>Validation Dataset</t>
  </si>
  <si>
    <t>Logistic regression - Confusion Matrix</t>
  </si>
  <si>
    <r>
      <t xml:space="preserve">Logistic Regression - With Random Under Sampling - </t>
    </r>
    <r>
      <rPr>
        <b/>
        <i/>
        <sz val="12"/>
        <color rgb="FFFF0000"/>
        <rFont val="Cambria"/>
        <family val="1"/>
      </rPr>
      <t>Model seems to be overfitting</t>
    </r>
  </si>
  <si>
    <t>F1 Score on test dataset</t>
  </si>
  <si>
    <t>Decision Tree</t>
  </si>
  <si>
    <t>XGB algorithm</t>
  </si>
  <si>
    <t>Since XGB is giving the best score individually trying that algorithm with different set of values in GRID search</t>
  </si>
  <si>
    <t>n_estimator</t>
  </si>
  <si>
    <t>100, 200, 300</t>
  </si>
  <si>
    <t>max_depth</t>
  </si>
  <si>
    <t>0.01, 0.1, 0.2</t>
  </si>
  <si>
    <t>Cross validation</t>
  </si>
  <si>
    <t>Total combinations</t>
  </si>
  <si>
    <t>Cross validation combined</t>
  </si>
  <si>
    <t>learning_rate/eta</t>
  </si>
  <si>
    <t>6, 7, 8</t>
  </si>
  <si>
    <t>max_delta_step</t>
  </si>
  <si>
    <t>0, 1, 2</t>
  </si>
  <si>
    <t>3*3*3*3</t>
  </si>
  <si>
    <t>Best Parameters</t>
  </si>
  <si>
    <t>eta</t>
  </si>
  <si>
    <t>Screenshots</t>
  </si>
  <si>
    <t>FASTAPI screenshot</t>
  </si>
  <si>
    <t>StreamLit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</si>
</sst>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b/>
      <i/>
      <sz val="12"/>
      <color rgb="FFFF0000"/>
      <name val="Cambria"/>
      <family val="1"/>
    </font>
    <font>
      <sz val="12"/>
      <color rgb="FF00B050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0" fontId="1" fillId="0" borderId="0" xfId="0" applyFont="1"/>
    <xf numFmtId="0" fontId="3" fillId="5" borderId="0" xfId="0" applyFont="1" applyFill="1"/>
    <xf numFmtId="0" fontId="1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24</xdr:col>
      <xdr:colOff>457809</xdr:colOff>
      <xdr:row>52</xdr:row>
      <xdr:rowOff>58434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CD445-4495-B999-3C13-B8C61EE7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8014289" cy="9202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132893</xdr:colOff>
      <xdr:row>75</xdr:row>
      <xdr:rowOff>95822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17C2D-A269-DDAA-0A3C-65960BB6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10374173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15</xdr:col>
      <xdr:colOff>601690</xdr:colOff>
      <xdr:row>120</xdr:row>
      <xdr:rowOff>86854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9422F6-7E5C-DABD-006A-CC538DE7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59000"/>
          <a:ext cx="11574490" cy="8087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24</xdr:col>
      <xdr:colOff>724546</xdr:colOff>
      <xdr:row>172</xdr:row>
      <xdr:rowOff>48881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2D8BD-559A-F16E-ADE9-58DC415B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812500"/>
          <a:ext cx="18281026" cy="900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19</xdr:col>
      <xdr:colOff>717547</xdr:colOff>
      <xdr:row>208</xdr:row>
      <xdr:rowOff>175820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B46AC4-1841-2A98-F006-FF13873A3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337500"/>
          <a:ext cx="14616427" cy="6462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ED32-F8D2-4AA7-9F3E-ACC8F43B8754}">
  <dimension ref="A1:F15"/>
  <sheetViews>
    <sheetView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2.81640625" bestFit="1" customWidth="1"/>
    <col min="2" max="2" width="17.36328125" bestFit="1" customWidth="1"/>
    <col min="3" max="3" width="12.36328125" bestFit="1" customWidth="1"/>
    <col min="4" max="4" width="6.36328125" bestFit="1" customWidth="1"/>
    <col min="5" max="5" width="12.7265625" bestFit="1" customWidth="1"/>
    <col min="6" max="6" width="46.54296875" bestFit="1" customWidth="1"/>
  </cols>
  <sheetData>
    <row r="1" spans="1:6" x14ac:dyDescent="0.25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  <c r="F1" s="2"/>
    </row>
    <row r="2" spans="1:6" x14ac:dyDescent="0.25">
      <c r="A2" s="1">
        <v>0</v>
      </c>
      <c r="B2" s="2" t="s">
        <v>3</v>
      </c>
      <c r="C2" s="2">
        <v>54808</v>
      </c>
      <c r="D2" s="2" t="s">
        <v>4</v>
      </c>
      <c r="E2" s="2" t="s">
        <v>22</v>
      </c>
      <c r="F2" s="2"/>
    </row>
    <row r="3" spans="1:6" x14ac:dyDescent="0.25">
      <c r="A3" s="1">
        <v>1</v>
      </c>
      <c r="B3" s="2" t="s">
        <v>5</v>
      </c>
      <c r="C3" s="2">
        <v>54808</v>
      </c>
      <c r="D3" s="2" t="s">
        <v>6</v>
      </c>
      <c r="E3" s="2" t="s">
        <v>23</v>
      </c>
      <c r="F3" s="2"/>
    </row>
    <row r="4" spans="1:6" x14ac:dyDescent="0.25">
      <c r="A4" s="1">
        <v>2</v>
      </c>
      <c r="B4" s="2" t="s">
        <v>7</v>
      </c>
      <c r="C4" s="2">
        <v>54808</v>
      </c>
      <c r="D4" s="2" t="s">
        <v>6</v>
      </c>
      <c r="E4" s="2" t="s">
        <v>23</v>
      </c>
      <c r="F4" s="2"/>
    </row>
    <row r="5" spans="1:6" x14ac:dyDescent="0.25">
      <c r="A5" s="1">
        <v>3</v>
      </c>
      <c r="B5" s="2" t="s">
        <v>8</v>
      </c>
      <c r="C5" s="2">
        <v>52399</v>
      </c>
      <c r="D5" s="2" t="s">
        <v>6</v>
      </c>
      <c r="E5" s="2" t="s">
        <v>23</v>
      </c>
      <c r="F5" s="2" t="s">
        <v>26</v>
      </c>
    </row>
    <row r="6" spans="1:6" x14ac:dyDescent="0.25">
      <c r="A6" s="1">
        <v>4</v>
      </c>
      <c r="B6" s="2" t="s">
        <v>9</v>
      </c>
      <c r="C6" s="2">
        <v>54808</v>
      </c>
      <c r="D6" s="2" t="s">
        <v>6</v>
      </c>
      <c r="E6" s="2" t="s">
        <v>23</v>
      </c>
      <c r="F6" s="2"/>
    </row>
    <row r="7" spans="1:6" x14ac:dyDescent="0.25">
      <c r="A7" s="1">
        <v>5</v>
      </c>
      <c r="B7" s="2" t="s">
        <v>10</v>
      </c>
      <c r="C7" s="2">
        <v>54808</v>
      </c>
      <c r="D7" s="2" t="s">
        <v>6</v>
      </c>
      <c r="E7" s="2" t="s">
        <v>23</v>
      </c>
      <c r="F7" s="2"/>
    </row>
    <row r="8" spans="1:6" x14ac:dyDescent="0.25">
      <c r="A8" s="1">
        <v>6</v>
      </c>
      <c r="B8" s="2" t="s">
        <v>11</v>
      </c>
      <c r="C8" s="2">
        <v>54808</v>
      </c>
      <c r="D8" s="2" t="s">
        <v>4</v>
      </c>
      <c r="E8" s="2" t="s">
        <v>23</v>
      </c>
      <c r="F8" s="2"/>
    </row>
    <row r="9" spans="1:6" x14ac:dyDescent="0.25">
      <c r="A9" s="4">
        <v>7</v>
      </c>
      <c r="B9" s="3" t="s">
        <v>12</v>
      </c>
      <c r="C9" s="3">
        <v>54808</v>
      </c>
      <c r="D9" s="3" t="s">
        <v>4</v>
      </c>
      <c r="E9" s="3" t="s">
        <v>25</v>
      </c>
      <c r="F9" s="2"/>
    </row>
    <row r="10" spans="1:6" x14ac:dyDescent="0.25">
      <c r="A10" s="1">
        <v>8</v>
      </c>
      <c r="B10" s="2" t="s">
        <v>13</v>
      </c>
      <c r="C10" s="2">
        <v>50684</v>
      </c>
      <c r="D10" s="2" t="s">
        <v>14</v>
      </c>
      <c r="E10" s="2" t="s">
        <v>23</v>
      </c>
      <c r="F10" s="2" t="s">
        <v>27</v>
      </c>
    </row>
    <row r="11" spans="1:6" x14ac:dyDescent="0.25">
      <c r="A11" s="1">
        <v>9</v>
      </c>
      <c r="B11" s="2" t="s">
        <v>15</v>
      </c>
      <c r="C11" s="2">
        <v>54808</v>
      </c>
      <c r="D11" s="2" t="s">
        <v>4</v>
      </c>
      <c r="E11" s="2" t="s">
        <v>23</v>
      </c>
      <c r="F11" s="2"/>
    </row>
    <row r="12" spans="1:6" x14ac:dyDescent="0.25">
      <c r="A12" s="1">
        <v>10</v>
      </c>
      <c r="B12" s="2" t="s">
        <v>16</v>
      </c>
      <c r="C12" s="2">
        <v>54808</v>
      </c>
      <c r="D12" s="2" t="s">
        <v>4</v>
      </c>
      <c r="E12" s="2" t="s">
        <v>23</v>
      </c>
      <c r="F12" s="2"/>
    </row>
    <row r="13" spans="1:6" x14ac:dyDescent="0.25">
      <c r="A13" s="1">
        <v>11</v>
      </c>
      <c r="B13" s="2" t="s">
        <v>17</v>
      </c>
      <c r="C13" s="2">
        <v>54808</v>
      </c>
      <c r="D13" s="2" t="s">
        <v>4</v>
      </c>
      <c r="E13" s="2" t="s">
        <v>23</v>
      </c>
      <c r="F13" s="2"/>
    </row>
    <row r="14" spans="1:6" x14ac:dyDescent="0.25">
      <c r="A14" s="4">
        <v>12</v>
      </c>
      <c r="B14" s="3" t="s">
        <v>18</v>
      </c>
      <c r="C14" s="3">
        <v>54808</v>
      </c>
      <c r="D14" s="3" t="s">
        <v>4</v>
      </c>
      <c r="E14" s="3" t="s">
        <v>25</v>
      </c>
      <c r="F14" s="2"/>
    </row>
    <row r="15" spans="1:6" x14ac:dyDescent="0.25">
      <c r="A15" s="1">
        <v>13</v>
      </c>
      <c r="B15" s="2" t="s">
        <v>19</v>
      </c>
      <c r="C15" s="2">
        <v>54808</v>
      </c>
      <c r="D15" s="2" t="s">
        <v>4</v>
      </c>
      <c r="E15" s="2" t="s">
        <v>24</v>
      </c>
      <c r="F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F2DA-6C69-480E-B1DE-43CC17A3F6F5}">
  <dimension ref="A1:O122"/>
  <sheetViews>
    <sheetView topLeftCell="A80" workbookViewId="0">
      <selection activeCell="A86" sqref="A86"/>
    </sheetView>
  </sheetViews>
  <sheetFormatPr defaultRowHeight="15" x14ac:dyDescent="0.25"/>
  <cols>
    <col min="1" max="1" width="14.36328125" bestFit="1" customWidth="1"/>
  </cols>
  <sheetData>
    <row r="1" spans="1:11" x14ac:dyDescent="0.25">
      <c r="A1" s="8" t="s">
        <v>37</v>
      </c>
    </row>
    <row r="3" spans="1:11" x14ac:dyDescent="0.25">
      <c r="A3" t="s">
        <v>30</v>
      </c>
    </row>
    <row r="4" spans="1:11" x14ac:dyDescent="0.25">
      <c r="A4" s="11"/>
      <c r="B4" s="12"/>
      <c r="C4" s="10" t="s">
        <v>29</v>
      </c>
      <c r="D4" s="10"/>
      <c r="F4" s="2" t="s">
        <v>31</v>
      </c>
      <c r="H4" s="1" t="s">
        <v>32</v>
      </c>
      <c r="I4" s="1" t="s">
        <v>33</v>
      </c>
      <c r="J4" s="1" t="s">
        <v>34</v>
      </c>
      <c r="K4" s="1" t="s">
        <v>35</v>
      </c>
    </row>
    <row r="5" spans="1:11" x14ac:dyDescent="0.25">
      <c r="A5" s="13"/>
      <c r="B5" s="14"/>
      <c r="C5" s="6">
        <v>0</v>
      </c>
      <c r="D5" s="6">
        <v>1</v>
      </c>
      <c r="F5" s="2">
        <f>((C6+D7)/(C6+D6+C7+D7))</f>
        <v>0.7681430461159513</v>
      </c>
      <c r="H5" s="1">
        <v>0</v>
      </c>
      <c r="I5" s="7">
        <f>(C6/(C6+D6))</f>
        <v>0.76408222322007679</v>
      </c>
      <c r="J5" s="7">
        <f>(C6/(C6+C7))</f>
        <v>0.97737571000063816</v>
      </c>
      <c r="K5" s="2">
        <f>(2*(I5*J5))/(I5+J5)</f>
        <v>0.85766689068100355</v>
      </c>
    </row>
    <row r="6" spans="1:11" x14ac:dyDescent="0.25">
      <c r="A6" s="10" t="s">
        <v>28</v>
      </c>
      <c r="B6" s="6">
        <v>0</v>
      </c>
      <c r="C6" s="5">
        <v>30629</v>
      </c>
      <c r="D6" s="3">
        <v>9457</v>
      </c>
      <c r="H6" s="1">
        <v>1</v>
      </c>
      <c r="I6" s="2">
        <f>(D7/(C7+D7))</f>
        <v>0.81143617021276593</v>
      </c>
      <c r="J6" s="2">
        <f>(D7/(D7+D6))</f>
        <v>0.24392388871122481</v>
      </c>
      <c r="K6" s="2">
        <f>(2*(I6*J6))/(I6+J6)</f>
        <v>0.37509220555692158</v>
      </c>
    </row>
    <row r="7" spans="1:11" x14ac:dyDescent="0.25">
      <c r="A7" s="10"/>
      <c r="B7" s="6">
        <v>1</v>
      </c>
      <c r="C7" s="3">
        <v>709</v>
      </c>
      <c r="D7" s="5">
        <v>3051</v>
      </c>
    </row>
    <row r="11" spans="1:11" x14ac:dyDescent="0.25">
      <c r="A11" t="s">
        <v>36</v>
      </c>
    </row>
    <row r="14" spans="1:11" x14ac:dyDescent="0.25">
      <c r="A14" s="11"/>
      <c r="B14" s="12"/>
      <c r="C14" s="10" t="s">
        <v>29</v>
      </c>
      <c r="D14" s="10"/>
      <c r="F14" s="2" t="s">
        <v>31</v>
      </c>
      <c r="H14" s="1" t="s">
        <v>32</v>
      </c>
      <c r="I14" s="1" t="s">
        <v>33</v>
      </c>
      <c r="J14" s="1" t="s">
        <v>34</v>
      </c>
      <c r="K14" s="1" t="s">
        <v>35</v>
      </c>
    </row>
    <row r="15" spans="1:11" x14ac:dyDescent="0.25">
      <c r="A15" s="13"/>
      <c r="B15" s="14"/>
      <c r="C15" s="6">
        <v>0</v>
      </c>
      <c r="D15" s="6">
        <v>1</v>
      </c>
      <c r="F15" s="2">
        <f t="shared" ref="F15" si="0">((C16+D17)/(C16+D16+C17+D17))</f>
        <v>0.77002371829958038</v>
      </c>
      <c r="H15" s="1">
        <v>0</v>
      </c>
      <c r="I15" s="7">
        <f>(C16/(C16+D16))</f>
        <v>0.76317883429480804</v>
      </c>
      <c r="J15" s="7">
        <f>(C16/(C16+C17))</f>
        <v>0.98208114680660441</v>
      </c>
      <c r="K15" s="2">
        <f>(2*(I15*J15))/(I15+J15)</f>
        <v>0.85890188615884033</v>
      </c>
    </row>
    <row r="16" spans="1:11" x14ac:dyDescent="0.25">
      <c r="A16" s="10" t="s">
        <v>28</v>
      </c>
      <c r="B16" s="6">
        <v>0</v>
      </c>
      <c r="C16" s="5">
        <v>7673</v>
      </c>
      <c r="D16" s="3">
        <v>2381</v>
      </c>
      <c r="H16" s="1">
        <v>1</v>
      </c>
      <c r="I16" s="2">
        <f>(D17/(C17+D17))</f>
        <v>0.8458149779735683</v>
      </c>
      <c r="J16" s="2">
        <f>(D17/(D17+D16))</f>
        <v>0.24388694823753573</v>
      </c>
      <c r="K16" s="2">
        <f>(2*(I16*J16))/(I16+J16)</f>
        <v>0.37860488045353713</v>
      </c>
    </row>
    <row r="17" spans="1:15" x14ac:dyDescent="0.25">
      <c r="A17" s="10"/>
      <c r="B17" s="6">
        <v>1</v>
      </c>
      <c r="C17" s="3">
        <v>140</v>
      </c>
      <c r="D17" s="5">
        <v>768</v>
      </c>
    </row>
    <row r="19" spans="1:15" x14ac:dyDescent="0.25">
      <c r="A19" t="s">
        <v>39</v>
      </c>
      <c r="B19">
        <v>0.374282434</v>
      </c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8" t="s">
        <v>38</v>
      </c>
    </row>
    <row r="23" spans="1:15" x14ac:dyDescent="0.25">
      <c r="A23" t="s">
        <v>30</v>
      </c>
    </row>
    <row r="24" spans="1:15" x14ac:dyDescent="0.25">
      <c r="A24" s="11"/>
      <c r="B24" s="12"/>
      <c r="C24" s="10" t="s">
        <v>29</v>
      </c>
      <c r="D24" s="10"/>
      <c r="F24" s="2" t="s">
        <v>31</v>
      </c>
      <c r="H24" s="1" t="s">
        <v>32</v>
      </c>
      <c r="I24" s="1" t="s">
        <v>33</v>
      </c>
      <c r="J24" s="1" t="s">
        <v>34</v>
      </c>
      <c r="K24" s="1" t="s">
        <v>35</v>
      </c>
    </row>
    <row r="25" spans="1:15" x14ac:dyDescent="0.25">
      <c r="A25" s="13"/>
      <c r="B25" s="14"/>
      <c r="C25" s="6">
        <v>0</v>
      </c>
      <c r="D25" s="6">
        <v>1</v>
      </c>
      <c r="F25" s="2">
        <f>((C26+D27)/(C26+D26+C27+D27))</f>
        <v>0.79405463310123192</v>
      </c>
      <c r="H25" s="1">
        <v>0</v>
      </c>
      <c r="I25" s="7">
        <f>(C26/(C26+D26))</f>
        <v>0.76398180358576395</v>
      </c>
      <c r="J25" s="7">
        <f>(C26/(C26+C27))</f>
        <v>0.81315864426089435</v>
      </c>
      <c r="K25" s="2">
        <f>(2*(I25*J25))/(I25+J25)</f>
        <v>0.78780353200882991</v>
      </c>
    </row>
    <row r="26" spans="1:15" x14ac:dyDescent="0.25">
      <c r="A26" s="10" t="s">
        <v>28</v>
      </c>
      <c r="B26" s="6">
        <v>0</v>
      </c>
      <c r="C26" s="5">
        <v>2855</v>
      </c>
      <c r="D26" s="3">
        <v>882</v>
      </c>
      <c r="H26" s="1">
        <v>1</v>
      </c>
      <c r="I26" s="2">
        <f>(D27/(C27+D27))</f>
        <v>0.82417582417582413</v>
      </c>
      <c r="J26" s="2">
        <f>(D27/(D27+D26))</f>
        <v>0.77710386656557995</v>
      </c>
      <c r="K26" s="2">
        <f>(2*(I26*J26))/(I26+J26)</f>
        <v>0.79994797086368374</v>
      </c>
    </row>
    <row r="27" spans="1:15" x14ac:dyDescent="0.25">
      <c r="A27" s="10"/>
      <c r="B27" s="6">
        <v>1</v>
      </c>
      <c r="C27" s="3">
        <v>656</v>
      </c>
      <c r="D27" s="5">
        <v>3075</v>
      </c>
    </row>
    <row r="31" spans="1:15" x14ac:dyDescent="0.25">
      <c r="A31" t="s">
        <v>36</v>
      </c>
    </row>
    <row r="34" spans="1:15" x14ac:dyDescent="0.25">
      <c r="A34" s="11"/>
      <c r="B34" s="12"/>
      <c r="C34" s="10" t="s">
        <v>29</v>
      </c>
      <c r="D34" s="10"/>
      <c r="F34" s="2" t="s">
        <v>31</v>
      </c>
      <c r="H34" s="1" t="s">
        <v>32</v>
      </c>
      <c r="I34" s="1" t="s">
        <v>33</v>
      </c>
      <c r="J34" s="1" t="s">
        <v>34</v>
      </c>
      <c r="K34" s="1" t="s">
        <v>35</v>
      </c>
    </row>
    <row r="35" spans="1:15" x14ac:dyDescent="0.25">
      <c r="A35" s="13"/>
      <c r="B35" s="14"/>
      <c r="C35" s="6">
        <v>0</v>
      </c>
      <c r="D35" s="6">
        <v>1</v>
      </c>
      <c r="F35" s="2">
        <f>((C36+D37)/(C36+D36+C37+D37))</f>
        <v>0.80192719486081365</v>
      </c>
      <c r="H35" s="1">
        <v>0</v>
      </c>
      <c r="I35" s="7">
        <f>(C36/(C36+D36))</f>
        <v>0.78088077336197637</v>
      </c>
      <c r="J35" s="7">
        <f>(C36/(C36+C37))</f>
        <v>0.81410974244120937</v>
      </c>
      <c r="K35" s="2">
        <f>(2*(I35*J35))/(I35+J35)</f>
        <v>0.79714912280701766</v>
      </c>
    </row>
    <row r="36" spans="1:15" x14ac:dyDescent="0.25">
      <c r="A36" s="10" t="s">
        <v>28</v>
      </c>
      <c r="B36" s="6">
        <v>0</v>
      </c>
      <c r="C36" s="5">
        <v>727</v>
      </c>
      <c r="D36" s="3">
        <v>204</v>
      </c>
      <c r="H36" s="1">
        <v>1</v>
      </c>
      <c r="I36" s="2">
        <f>(D37/(C37+D37))</f>
        <v>0.82283884738527213</v>
      </c>
      <c r="J36" s="2">
        <f>(D37/(D37+D36))</f>
        <v>0.79076923076923078</v>
      </c>
      <c r="K36" s="2">
        <f>(2*(I36*J36))/(I36+J36)</f>
        <v>0.80648535564853541</v>
      </c>
    </row>
    <row r="37" spans="1:15" x14ac:dyDescent="0.25">
      <c r="A37" s="10"/>
      <c r="B37" s="6">
        <v>1</v>
      </c>
      <c r="C37" s="3">
        <v>166</v>
      </c>
      <c r="D37" s="5">
        <v>771</v>
      </c>
    </row>
    <row r="39" spans="1:15" x14ac:dyDescent="0.25">
      <c r="A39" t="s">
        <v>39</v>
      </c>
      <c r="B39">
        <v>0.37209302329999999</v>
      </c>
    </row>
    <row r="41" spans="1:1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x14ac:dyDescent="0.25">
      <c r="A42" s="8" t="s">
        <v>40</v>
      </c>
    </row>
    <row r="44" spans="1:15" x14ac:dyDescent="0.25">
      <c r="A44" t="s">
        <v>30</v>
      </c>
    </row>
    <row r="45" spans="1:15" x14ac:dyDescent="0.25">
      <c r="A45" s="11"/>
      <c r="B45" s="12"/>
      <c r="C45" s="10" t="s">
        <v>29</v>
      </c>
      <c r="D45" s="10"/>
      <c r="F45" s="2" t="s">
        <v>31</v>
      </c>
      <c r="H45" s="1" t="s">
        <v>32</v>
      </c>
      <c r="I45" s="1" t="s">
        <v>33</v>
      </c>
      <c r="J45" s="1" t="s">
        <v>34</v>
      </c>
      <c r="K45" s="1" t="s">
        <v>35</v>
      </c>
    </row>
    <row r="46" spans="1:15" x14ac:dyDescent="0.25">
      <c r="A46" s="13"/>
      <c r="B46" s="14"/>
      <c r="C46" s="6">
        <v>0</v>
      </c>
      <c r="D46" s="6">
        <v>1</v>
      </c>
      <c r="F46" s="2">
        <f>((C47+D48)/(C47+D47+C48+D48))</f>
        <v>0.99974912192674359</v>
      </c>
      <c r="H46" s="1">
        <v>0</v>
      </c>
      <c r="I46" s="7">
        <f>(C47/(C47+D47))</f>
        <v>1</v>
      </c>
      <c r="J46" s="7">
        <f>(C47/(C47+C48))</f>
        <v>0.99972566526174023</v>
      </c>
      <c r="K46" s="2">
        <f>(2*(I46*J46))/(I46+J46)</f>
        <v>0.99986281381340192</v>
      </c>
    </row>
    <row r="47" spans="1:15" x14ac:dyDescent="0.25">
      <c r="A47" s="10" t="s">
        <v>28</v>
      </c>
      <c r="B47" s="6">
        <v>0</v>
      </c>
      <c r="C47" s="5">
        <v>40086</v>
      </c>
      <c r="D47" s="3">
        <v>0</v>
      </c>
      <c r="H47" s="1">
        <v>1</v>
      </c>
      <c r="I47" s="2">
        <f>(D48/(C48+D48))</f>
        <v>0.99707446808510636</v>
      </c>
      <c r="J47" s="2">
        <f>(D48/(D48+D47))</f>
        <v>1</v>
      </c>
      <c r="K47" s="2">
        <f>(2*(I47*J47))/(I47+J47)</f>
        <v>0.99853509122386475</v>
      </c>
    </row>
    <row r="48" spans="1:15" x14ac:dyDescent="0.25">
      <c r="A48" s="10"/>
      <c r="B48" s="6">
        <v>1</v>
      </c>
      <c r="C48" s="3">
        <v>11</v>
      </c>
      <c r="D48" s="5">
        <v>3749</v>
      </c>
    </row>
    <row r="52" spans="1:15" x14ac:dyDescent="0.25">
      <c r="A52" t="s">
        <v>36</v>
      </c>
    </row>
    <row r="55" spans="1:15" x14ac:dyDescent="0.25">
      <c r="A55" s="11"/>
      <c r="B55" s="12"/>
      <c r="C55" s="10" t="s">
        <v>29</v>
      </c>
      <c r="D55" s="10"/>
      <c r="F55" s="2" t="s">
        <v>31</v>
      </c>
      <c r="H55" s="1" t="s">
        <v>32</v>
      </c>
      <c r="I55" s="1" t="s">
        <v>33</v>
      </c>
      <c r="J55" s="1" t="s">
        <v>34</v>
      </c>
      <c r="K55" s="1" t="s">
        <v>35</v>
      </c>
    </row>
    <row r="56" spans="1:15" x14ac:dyDescent="0.25">
      <c r="A56" s="13"/>
      <c r="B56" s="14"/>
      <c r="C56" s="6">
        <v>0</v>
      </c>
      <c r="D56" s="6">
        <v>1</v>
      </c>
      <c r="F56" s="2">
        <f>((C57+D58)/(C57+D57+C58+D58))</f>
        <v>0.89728151797117317</v>
      </c>
      <c r="H56" s="1">
        <v>0</v>
      </c>
      <c r="I56" s="7">
        <f>(C57/(C57+D57))</f>
        <v>0.93763676148796504</v>
      </c>
      <c r="J56" s="7">
        <f>(C57/(C57+C58))</f>
        <v>0.94972798710457385</v>
      </c>
      <c r="K56" s="2">
        <f>(2*(I56*J56))/(I56+J56)</f>
        <v>0.94364364364364361</v>
      </c>
    </row>
    <row r="57" spans="1:15" x14ac:dyDescent="0.25">
      <c r="A57" s="10" t="s">
        <v>28</v>
      </c>
      <c r="B57" s="6">
        <v>0</v>
      </c>
      <c r="C57" s="5">
        <v>9427</v>
      </c>
      <c r="D57" s="3">
        <v>627</v>
      </c>
      <c r="H57" s="1">
        <v>1</v>
      </c>
      <c r="I57" s="2">
        <f>(D58/(C58+D58))</f>
        <v>0.45044052863436124</v>
      </c>
      <c r="J57" s="2">
        <f>(D58/(D58+D57))</f>
        <v>0.39478764478764478</v>
      </c>
      <c r="K57" s="2">
        <f>(2*(I57*J57))/(I57+J57)</f>
        <v>0.42078189300411523</v>
      </c>
    </row>
    <row r="58" spans="1:15" x14ac:dyDescent="0.25">
      <c r="A58" s="10"/>
      <c r="B58" s="6">
        <v>1</v>
      </c>
      <c r="C58" s="3">
        <v>499</v>
      </c>
      <c r="D58" s="5">
        <v>409</v>
      </c>
    </row>
    <row r="60" spans="1:15" x14ac:dyDescent="0.25">
      <c r="A60" t="s">
        <v>39</v>
      </c>
      <c r="B60">
        <v>0.4214372716</v>
      </c>
    </row>
    <row r="62" spans="1:1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4" spans="1:15" x14ac:dyDescent="0.25">
      <c r="A64" s="8" t="s">
        <v>41</v>
      </c>
    </row>
    <row r="66" spans="1:11" x14ac:dyDescent="0.25">
      <c r="A66" t="s">
        <v>30</v>
      </c>
    </row>
    <row r="67" spans="1:11" x14ac:dyDescent="0.25">
      <c r="A67" s="11"/>
      <c r="B67" s="12"/>
      <c r="C67" s="10" t="s">
        <v>29</v>
      </c>
      <c r="D67" s="10"/>
      <c r="F67" s="2" t="s">
        <v>31</v>
      </c>
      <c r="H67" s="1" t="s">
        <v>32</v>
      </c>
      <c r="I67" s="1" t="s">
        <v>33</v>
      </c>
      <c r="J67" s="1" t="s">
        <v>34</v>
      </c>
      <c r="K67" s="1" t="s">
        <v>35</v>
      </c>
    </row>
    <row r="68" spans="1:11" x14ac:dyDescent="0.25">
      <c r="A68" s="13"/>
      <c r="B68" s="14"/>
      <c r="C68" s="6">
        <v>0</v>
      </c>
      <c r="D68" s="6">
        <v>1</v>
      </c>
      <c r="F68" s="2">
        <f>((C69+D70)/(C69+D69+C70+D70))</f>
        <v>0.94925420790950144</v>
      </c>
      <c r="H68" s="1">
        <v>0</v>
      </c>
      <c r="I68" s="7">
        <f>(C69/(C69+D69))</f>
        <v>0.99847827171581105</v>
      </c>
      <c r="J68" s="7">
        <f>(C69/(C69+C70))</f>
        <v>0.94870700893597859</v>
      </c>
      <c r="K68" s="2">
        <f>(2*(I68*J68))/(I68+J68)</f>
        <v>0.97295654816165311</v>
      </c>
    </row>
    <row r="69" spans="1:11" x14ac:dyDescent="0.25">
      <c r="A69" s="10" t="s">
        <v>28</v>
      </c>
      <c r="B69" s="6">
        <v>0</v>
      </c>
      <c r="C69" s="5">
        <v>40025</v>
      </c>
      <c r="D69" s="3">
        <v>61</v>
      </c>
      <c r="H69" s="1">
        <v>1</v>
      </c>
      <c r="I69" s="2">
        <f>(D70/(C70+D70))</f>
        <v>0.42446808510638295</v>
      </c>
      <c r="J69" s="2">
        <f>(D70/(D70+D69))</f>
        <v>0.96318648159324083</v>
      </c>
      <c r="K69" s="2">
        <f>(2*(I69*J69))/(I69+J69)</f>
        <v>0.58925604578179802</v>
      </c>
    </row>
    <row r="70" spans="1:11" x14ac:dyDescent="0.25">
      <c r="A70" s="10"/>
      <c r="B70" s="6">
        <v>1</v>
      </c>
      <c r="C70" s="3">
        <v>2164</v>
      </c>
      <c r="D70" s="5">
        <v>1596</v>
      </c>
    </row>
    <row r="74" spans="1:11" x14ac:dyDescent="0.25">
      <c r="A74" t="s">
        <v>36</v>
      </c>
    </row>
    <row r="77" spans="1:11" x14ac:dyDescent="0.25">
      <c r="A77" s="11"/>
      <c r="B77" s="12"/>
      <c r="C77" s="10" t="s">
        <v>29</v>
      </c>
      <c r="D77" s="10"/>
      <c r="F77" s="2" t="s">
        <v>31</v>
      </c>
      <c r="H77" s="1" t="s">
        <v>32</v>
      </c>
      <c r="I77" s="1" t="s">
        <v>33</v>
      </c>
      <c r="J77" s="1" t="s">
        <v>34</v>
      </c>
      <c r="K77" s="1" t="s">
        <v>35</v>
      </c>
    </row>
    <row r="78" spans="1:11" x14ac:dyDescent="0.25">
      <c r="A78" s="13"/>
      <c r="B78" s="14"/>
      <c r="C78" s="6">
        <v>0</v>
      </c>
      <c r="D78" s="6">
        <v>1</v>
      </c>
      <c r="F78" s="2">
        <f>((C79+D80)/(C79+D79+C80+D80))</f>
        <v>0.94271118409049448</v>
      </c>
      <c r="H78" s="1">
        <v>0</v>
      </c>
      <c r="I78" s="7">
        <f>(C79/(C79+D79))</f>
        <v>0.99631987268748756</v>
      </c>
      <c r="J78" s="7">
        <f>(C79/(C79+C80))</f>
        <v>0.94428733031674206</v>
      </c>
      <c r="K78" s="2">
        <f>(2*(I78*J78))/(I78+J78)</f>
        <v>0.96960604007356499</v>
      </c>
    </row>
    <row r="79" spans="1:11" x14ac:dyDescent="0.25">
      <c r="A79" s="10" t="s">
        <v>28</v>
      </c>
      <c r="B79" s="6">
        <v>0</v>
      </c>
      <c r="C79" s="5">
        <v>10017</v>
      </c>
      <c r="D79" s="3">
        <v>37</v>
      </c>
      <c r="H79" s="1">
        <v>1</v>
      </c>
      <c r="I79" s="2">
        <f>(D80/(C80+D80))</f>
        <v>0.34911894273127753</v>
      </c>
      <c r="J79" s="2">
        <f>(D80/(D80+D79))</f>
        <v>0.89548022598870058</v>
      </c>
      <c r="K79" s="2">
        <f>(2*(I79*J79))/(I79+J79)</f>
        <v>0.50237717908082413</v>
      </c>
    </row>
    <row r="80" spans="1:11" x14ac:dyDescent="0.25">
      <c r="A80" s="10"/>
      <c r="B80" s="6">
        <v>1</v>
      </c>
      <c r="C80" s="3">
        <v>591</v>
      </c>
      <c r="D80" s="5">
        <v>317</v>
      </c>
    </row>
    <row r="82" spans="1:15" x14ac:dyDescent="0.25">
      <c r="A82" t="s">
        <v>39</v>
      </c>
      <c r="B82">
        <v>0.48683015439999999</v>
      </c>
    </row>
    <row r="84" spans="1:1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6" spans="1:15" x14ac:dyDescent="0.25">
      <c r="A86" s="8" t="s">
        <v>42</v>
      </c>
    </row>
    <row r="88" spans="1:15" x14ac:dyDescent="0.25">
      <c r="A88" t="s">
        <v>43</v>
      </c>
      <c r="B88" t="s">
        <v>44</v>
      </c>
    </row>
    <row r="89" spans="1:15" x14ac:dyDescent="0.25">
      <c r="A89" t="s">
        <v>45</v>
      </c>
      <c r="B89" t="s">
        <v>51</v>
      </c>
    </row>
    <row r="90" spans="1:15" x14ac:dyDescent="0.25">
      <c r="A90" t="s">
        <v>50</v>
      </c>
      <c r="B90" t="s">
        <v>46</v>
      </c>
    </row>
    <row r="91" spans="1:15" x14ac:dyDescent="0.25">
      <c r="A91" t="s">
        <v>52</v>
      </c>
      <c r="B91" t="s">
        <v>53</v>
      </c>
    </row>
    <row r="92" spans="1:15" x14ac:dyDescent="0.25">
      <c r="A92" t="s">
        <v>47</v>
      </c>
      <c r="B92">
        <v>5</v>
      </c>
    </row>
    <row r="94" spans="1:15" x14ac:dyDescent="0.25">
      <c r="A94" t="s">
        <v>48</v>
      </c>
      <c r="B94" t="s">
        <v>54</v>
      </c>
      <c r="C94">
        <f>3*3*3*3</f>
        <v>81</v>
      </c>
    </row>
    <row r="95" spans="1:15" x14ac:dyDescent="0.25">
      <c r="A95" s="8" t="s">
        <v>49</v>
      </c>
      <c r="B95" s="8">
        <f>C94*B92</f>
        <v>405</v>
      </c>
    </row>
    <row r="97" spans="1:11" x14ac:dyDescent="0.25">
      <c r="A97" t="s">
        <v>55</v>
      </c>
    </row>
    <row r="98" spans="1:11" x14ac:dyDescent="0.25">
      <c r="A98" t="s">
        <v>56</v>
      </c>
      <c r="B98">
        <v>0.1</v>
      </c>
    </row>
    <row r="99" spans="1:11" x14ac:dyDescent="0.25">
      <c r="A99" t="s">
        <v>52</v>
      </c>
      <c r="B99">
        <v>2</v>
      </c>
    </row>
    <row r="100" spans="1:11" x14ac:dyDescent="0.25">
      <c r="A100" t="s">
        <v>43</v>
      </c>
      <c r="B100">
        <v>200</v>
      </c>
    </row>
    <row r="101" spans="1:11" x14ac:dyDescent="0.25">
      <c r="A101" t="s">
        <v>45</v>
      </c>
      <c r="B101">
        <v>8</v>
      </c>
    </row>
    <row r="104" spans="1:11" x14ac:dyDescent="0.25">
      <c r="A104" t="s">
        <v>30</v>
      </c>
    </row>
    <row r="105" spans="1:11" x14ac:dyDescent="0.25">
      <c r="A105" s="11"/>
      <c r="B105" s="12"/>
      <c r="C105" s="10" t="s">
        <v>29</v>
      </c>
      <c r="D105" s="10"/>
      <c r="F105" s="2" t="s">
        <v>31</v>
      </c>
      <c r="H105" s="1" t="s">
        <v>32</v>
      </c>
      <c r="I105" s="1" t="s">
        <v>33</v>
      </c>
      <c r="J105" s="1" t="s">
        <v>34</v>
      </c>
      <c r="K105" s="1" t="s">
        <v>35</v>
      </c>
    </row>
    <row r="106" spans="1:11" x14ac:dyDescent="0.25">
      <c r="A106" s="13"/>
      <c r="B106" s="14"/>
      <c r="C106" s="6">
        <v>0</v>
      </c>
      <c r="D106" s="6">
        <v>1</v>
      </c>
      <c r="F106" s="2">
        <f>((C107+D108)/(C107+D107+C108+D108))</f>
        <v>0.95438580486247315</v>
      </c>
      <c r="H106" s="1">
        <v>0</v>
      </c>
      <c r="I106" s="7">
        <f>(C107/(C107+D107))</f>
        <v>0.99945117996307942</v>
      </c>
      <c r="J106" s="7">
        <f>(C107/(C107+C108))</f>
        <v>0.95295181009466723</v>
      </c>
      <c r="K106" s="2">
        <f>(2*(I106*J106))/(I106+J106)</f>
        <v>0.97564776933567121</v>
      </c>
    </row>
    <row r="107" spans="1:11" x14ac:dyDescent="0.25">
      <c r="A107" s="10" t="s">
        <v>28</v>
      </c>
      <c r="B107" s="6">
        <v>0</v>
      </c>
      <c r="C107" s="5">
        <v>40064</v>
      </c>
      <c r="D107" s="3">
        <v>22</v>
      </c>
      <c r="H107" s="1">
        <v>1</v>
      </c>
      <c r="I107" s="2">
        <f>(D108/(C108+D108))</f>
        <v>0.47393617021276596</v>
      </c>
      <c r="J107" s="2">
        <f>(D108/(D108+D107))</f>
        <v>0.98780487804878048</v>
      </c>
      <c r="K107" s="2">
        <f>(2*(I107*J107))/(I107+J107)</f>
        <v>0.6405463695183321</v>
      </c>
    </row>
    <row r="108" spans="1:11" x14ac:dyDescent="0.25">
      <c r="A108" s="10"/>
      <c r="B108" s="6">
        <v>1</v>
      </c>
      <c r="C108" s="3">
        <v>1978</v>
      </c>
      <c r="D108" s="5">
        <v>1782</v>
      </c>
    </row>
    <row r="112" spans="1:11" x14ac:dyDescent="0.25">
      <c r="A112" t="s">
        <v>36</v>
      </c>
    </row>
    <row r="115" spans="1:15" x14ac:dyDescent="0.25">
      <c r="A115" s="11"/>
      <c r="B115" s="12"/>
      <c r="C115" s="10" t="s">
        <v>29</v>
      </c>
      <c r="D115" s="10"/>
      <c r="F115" s="2" t="s">
        <v>31</v>
      </c>
      <c r="H115" s="1" t="s">
        <v>32</v>
      </c>
      <c r="I115" s="1" t="s">
        <v>33</v>
      </c>
      <c r="J115" s="1" t="s">
        <v>34</v>
      </c>
      <c r="K115" s="1" t="s">
        <v>35</v>
      </c>
    </row>
    <row r="116" spans="1:15" x14ac:dyDescent="0.25">
      <c r="A116" s="13"/>
      <c r="B116" s="14"/>
      <c r="C116" s="6">
        <v>0</v>
      </c>
      <c r="D116" s="6">
        <v>1</v>
      </c>
      <c r="F116" s="2">
        <f>((C117+D118)/(C117+D117+C118+D118))</f>
        <v>0.94134282065316544</v>
      </c>
      <c r="H116" s="1">
        <v>0</v>
      </c>
      <c r="I116" s="7">
        <f>(C117/(C117+D117))</f>
        <v>0.99443007758106228</v>
      </c>
      <c r="J116" s="7">
        <f>(C117/(C117+C118))</f>
        <v>0.94454416627302784</v>
      </c>
      <c r="K116" s="2">
        <f>(2*(I116*J116))/(I116+J116)</f>
        <v>0.9688453897960172</v>
      </c>
    </row>
    <row r="117" spans="1:15" x14ac:dyDescent="0.25">
      <c r="A117" s="10" t="s">
        <v>28</v>
      </c>
      <c r="B117" s="6">
        <v>0</v>
      </c>
      <c r="C117" s="5">
        <v>9998</v>
      </c>
      <c r="D117" s="3">
        <v>56</v>
      </c>
      <c r="H117" s="1">
        <v>1</v>
      </c>
      <c r="I117" s="2">
        <f>(D118/(C118+D118))</f>
        <v>0.3535242290748899</v>
      </c>
      <c r="J117" s="2">
        <f>(D118/(D118+D117))</f>
        <v>0.85145888594164454</v>
      </c>
      <c r="K117" s="2">
        <f>(2*(I117*J117))/(I117+J117)</f>
        <v>0.4996108949416343</v>
      </c>
    </row>
    <row r="118" spans="1:15" x14ac:dyDescent="0.25">
      <c r="A118" s="10"/>
      <c r="B118" s="6">
        <v>1</v>
      </c>
      <c r="C118" s="3">
        <v>587</v>
      </c>
      <c r="D118" s="5">
        <v>321</v>
      </c>
    </row>
    <row r="120" spans="1:15" x14ac:dyDescent="0.25">
      <c r="A120" t="s">
        <v>39</v>
      </c>
      <c r="B120">
        <v>0.49252418650000002</v>
      </c>
    </row>
    <row r="122" spans="1:1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</sheetData>
  <mergeCells count="30">
    <mergeCell ref="A117:A118"/>
    <mergeCell ref="A79:A80"/>
    <mergeCell ref="A105:B106"/>
    <mergeCell ref="C105:D105"/>
    <mergeCell ref="A107:A108"/>
    <mergeCell ref="A115:B116"/>
    <mergeCell ref="C115:D115"/>
    <mergeCell ref="A57:A58"/>
    <mergeCell ref="A67:B68"/>
    <mergeCell ref="C67:D67"/>
    <mergeCell ref="A69:A70"/>
    <mergeCell ref="A77:B78"/>
    <mergeCell ref="C77:D77"/>
    <mergeCell ref="A36:A37"/>
    <mergeCell ref="A45:B46"/>
    <mergeCell ref="C45:D45"/>
    <mergeCell ref="A47:A48"/>
    <mergeCell ref="A55:B56"/>
    <mergeCell ref="C55:D55"/>
    <mergeCell ref="A16:A17"/>
    <mergeCell ref="A24:B25"/>
    <mergeCell ref="C24:D24"/>
    <mergeCell ref="A26:A27"/>
    <mergeCell ref="A34:B35"/>
    <mergeCell ref="C34:D34"/>
    <mergeCell ref="C4:D4"/>
    <mergeCell ref="A6:A7"/>
    <mergeCell ref="A4:B5"/>
    <mergeCell ref="A14:B15"/>
    <mergeCell ref="C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BFA5-F6D0-4939-A189-56AE4B3C8446}">
  <dimension ref="A1:A124"/>
  <sheetViews>
    <sheetView tabSelected="1" topLeftCell="A190" workbookViewId="0">
      <selection activeCell="F211" sqref="F211"/>
    </sheetView>
  </sheetViews>
  <sheetFormatPr defaultRowHeight="15" x14ac:dyDescent="0.25"/>
  <sheetData>
    <row r="1" spans="1:1" x14ac:dyDescent="0.25">
      <c r="A1" t="s">
        <v>57</v>
      </c>
    </row>
    <row r="3" spans="1:1" x14ac:dyDescent="0.25">
      <c r="A3" t="s">
        <v>58</v>
      </c>
    </row>
    <row r="124" spans="1:1" x14ac:dyDescent="0.25">
      <c r="A124" t="s">
        <v>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0388349AF4545837476A05DC48C4D" ma:contentTypeVersion="11" ma:contentTypeDescription="Create a new document." ma:contentTypeScope="" ma:versionID="2b4a9e83a4070476ede530b22a941af4">
  <xsd:schema xmlns:xsd="http://www.w3.org/2001/XMLSchema" xmlns:xs="http://www.w3.org/2001/XMLSchema" xmlns:p="http://schemas.microsoft.com/office/2006/metadata/properties" xmlns:ns3="c6b8810b-1d17-4305-8fd5-48434bb6fa9f" xmlns:ns4="b9b5f2be-8eb7-4a1d-a0ab-1a223a249b57" targetNamespace="http://schemas.microsoft.com/office/2006/metadata/properties" ma:root="true" ma:fieldsID="1474698426a6a57327e22b62ef2ee744" ns3:_="" ns4:_="">
    <xsd:import namespace="c6b8810b-1d17-4305-8fd5-48434bb6fa9f"/>
    <xsd:import namespace="b9b5f2be-8eb7-4a1d-a0ab-1a223a249b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8810b-1d17-4305-8fd5-48434bb6f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5f2be-8eb7-4a1d-a0ab-1a223a249b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b8810b-1d17-4305-8fd5-48434bb6fa9f" xsi:nil="true"/>
  </documentManagement>
</p:properties>
</file>

<file path=customXml/itemProps1.xml><?xml version="1.0" encoding="utf-8"?>
<ds:datastoreItem xmlns:ds="http://schemas.openxmlformats.org/officeDocument/2006/customXml" ds:itemID="{9C632241-FB8A-42D2-921B-1E466D0308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AB48A2-6080-4387-A6AB-611EC3C90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8810b-1d17-4305-8fd5-48434bb6fa9f"/>
    <ds:schemaRef ds:uri="b9b5f2be-8eb7-4a1d-a0ab-1a223a249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A978C8-D850-4769-8972-77F93A95B6CD}">
  <ds:schemaRefs>
    <ds:schemaRef ds:uri="http://purl.org/dc/terms/"/>
    <ds:schemaRef ds:uri="b9b5f2be-8eb7-4a1d-a0ab-1a223a249b57"/>
    <ds:schemaRef ds:uri="http://www.w3.org/XML/1998/namespace"/>
    <ds:schemaRef ds:uri="http://schemas.microsoft.com/office/2006/documentManagement/types"/>
    <ds:schemaRef ds:uri="c6b8810b-1d17-4305-8fd5-48434bb6fa9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Manual Calculation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37088</dc:creator>
  <cp:lastModifiedBy>37088</cp:lastModifiedBy>
  <dcterms:created xsi:type="dcterms:W3CDTF">2026-01-03T12:58:55Z</dcterms:created>
  <dcterms:modified xsi:type="dcterms:W3CDTF">2026-01-04T12:07:09Z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0x010100C620388349AF4545837476A05DC48C4D</vt:lpwstr>
  </property>
</Properties>
</file>